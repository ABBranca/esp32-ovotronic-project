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 STM32 (rete AC)" sheetId="1" r:id="rId5"/>
    <sheet state="visible" name="Scenario DC esterno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8">
      <text>
        <t xml:space="preserve">Stima commodity, da blindare con RFQ</t>
      </text>
    </comment>
    <comment authorId="0" ref="H6">
      <text>
        <t xml:space="preserve">Source: LCSC, 28/05/2026, STM32G071CBU3 da $1,4459 @1pz; stima ~$1,10 a 10k (curva sconto volume). https://www.lcsc.com</t>
      </text>
    </comment>
    <comment authorId="0" ref="H23">
      <text>
        <t xml:space="preserve">Stima PCB @10k</t>
      </text>
    </comment>
    <comment authorId="0" ref="H17">
      <text>
        <t xml:space="preserve">Stima commodity</t>
      </text>
    </comment>
    <comment authorId="0" ref="H16">
      <text>
        <t xml:space="preserve">Stima aggregata</t>
      </text>
    </comment>
    <comment authorId="0" ref="H15">
      <text>
        <t xml:space="preserve">Stima aggregata</t>
      </text>
    </comment>
    <comment authorId="0" ref="H14">
      <text>
        <t xml:space="preserve">Stima commodity</t>
      </text>
    </comment>
    <comment authorId="0" ref="H13">
      <text>
        <t xml:space="preserve">Stima modulo AC-DC compatto</t>
      </text>
    </comment>
    <comment authorId="0" ref="H12">
      <text>
        <t xml:space="preserve">Stima commodity</t>
      </text>
    </comment>
    <comment authorId="0" ref="H11">
      <text>
        <t xml:space="preserve">Stima commodity</t>
      </text>
    </comment>
    <comment authorId="0" ref="H10">
      <text>
        <t xml:space="preserve">Stima commodity</t>
      </text>
    </comment>
    <comment authorId="0" ref="H9">
      <text>
        <t xml:space="preserve">Stima commodity, da blindare con RFQ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8">
      <text>
        <t xml:space="preserve">Stima commodity</t>
      </text>
    </comment>
    <comment authorId="0" ref="H7">
      <text>
        <t xml:space="preserve">Stima commodity</t>
      </text>
    </comment>
    <comment authorId="0" ref="H6">
      <text>
        <t xml:space="preserve">Source: LCSC, 28/05/2026, STM32G071CBU3 da $1,4459 @1pz; stima ~$1,10 a 10k. https://www.lcsc.com</t>
      </text>
    </comment>
    <comment authorId="0" ref="H15">
      <text>
        <t xml:space="preserve">Stima PCB @10k</t>
      </text>
    </comment>
    <comment authorId="0" ref="H14">
      <text>
        <t xml:space="preserve">Stima commodity</t>
      </text>
    </comment>
    <comment authorId="0" ref="H13">
      <text>
        <t xml:space="preserve">Stima aggregata</t>
      </text>
    </comment>
    <comment authorId="0" ref="H12">
      <text>
        <t xml:space="preserve">Stima aggregata</t>
      </text>
    </comment>
    <comment authorId="0" ref="H11">
      <text>
        <t xml:space="preserve">Stima commodity</t>
      </text>
    </comment>
    <comment authorId="0" ref="H10">
      <text>
        <t xml:space="preserve">Stima commodity</t>
      </text>
    </comment>
    <comment authorId="0" ref="H9">
      <text>
        <t xml:space="preserve">Stima commodity</t>
      </text>
    </comment>
  </commentList>
</comments>
</file>

<file path=xl/sharedStrings.xml><?xml version="1.0" encoding="utf-8"?>
<sst xmlns="http://schemas.openxmlformats.org/spreadsheetml/2006/main" count="163" uniqueCount="116">
  <si>
    <t>Ovotronic — BOM catena controllo + sicurezza (STM32 + cutoff termico)</t>
  </si>
  <si>
    <t>Scenario: alimentazione da RETE (resistenza AC)</t>
  </si>
  <si>
    <t>Volume: 10.000 unità · Valuta base: USD · Esclude attuatori/resistenza/carcassa/display</t>
  </si>
  <si>
    <t>#</t>
  </si>
  <si>
    <t>Componente</t>
  </si>
  <si>
    <t>Funzione</t>
  </si>
  <si>
    <t>MPN tipico</t>
  </si>
  <si>
    <t>Q.tà/
unità</t>
  </si>
  <si>
    <t>Prezzo unit.
@10k ($)</t>
  </si>
  <si>
    <t>Costo/unità
($)</t>
  </si>
  <si>
    <t>Fonte / Nota</t>
  </si>
  <si>
    <t>URL</t>
  </si>
  <si>
    <t>MCU ESP32-S3</t>
  </si>
  <si>
    <t>Controllo + IWDG + brown-out (BOR)</t>
  </si>
  <si>
    <t>ESP32-S3</t>
  </si>
  <si>
    <t>IWDG e BOR integrati nel silicio = costo zero</t>
  </si>
  <si>
    <t>https://www.digikey.it/it/products/detail/espressif-systems/esp32-s3/15822445</t>
  </si>
  <si>
    <t>EG4924-ND</t>
  </si>
  <si>
    <t>SWITCH SNAP ACTION SPDT 3A 125V</t>
  </si>
  <si>
    <t>SS0750301F040P1A</t>
  </si>
  <si>
    <t>Interruttori Fine Corsa</t>
  </si>
  <si>
    <t>https://www.digikey.it/it/products/detail/e-switch/SS0750301F040P1A/2639078</t>
  </si>
  <si>
    <t>Switch termico bimetallico (reset)</t>
  </si>
  <si>
    <t>Cutoff sicurezza — STRATO 1 (indipendente da MCU)</t>
  </si>
  <si>
    <t>KSD9700 (soglia da definire)</t>
  </si>
  <si>
    <t>OBBLIGATORIO per IEC 60730. Taglia la resistenza a monte dell'MCU</t>
  </si>
  <si>
    <t>Termofusibile one-shot (TCO)</t>
  </si>
  <si>
    <t>Sicurezza ultima istanza</t>
  </si>
  <si>
    <t>TCO ~10A</t>
  </si>
  <si>
    <t>1</t>
  </si>
  <si>
    <t>Backup non resettabile del bimetallico</t>
  </si>
  <si>
    <t>NTC 100k + resistore rif. 0,1%</t>
  </si>
  <si>
    <t>Sensing loop termico (PID)</t>
  </si>
  <si>
    <t>NTC + ref 0.1%</t>
  </si>
  <si>
    <t>Non usare l'ADC interno per misura critica</t>
  </si>
  <si>
    <t>Opto-triac driver zero-cross</t>
  </si>
  <si>
    <t>Gate drive isolato della resistenza</t>
  </si>
  <si>
    <t>MOC3063</t>
  </si>
  <si>
    <t>Isolamento galvanico rete/logica</t>
  </si>
  <si>
    <t>TRIAC</t>
  </si>
  <si>
    <t>Commutazione resistenza AC</t>
  </si>
  <si>
    <t>BTA16-600B</t>
  </si>
  <si>
    <t>Dimensionare su corrente resistenza</t>
  </si>
  <si>
    <t>Modulo AC-DC 5V</t>
  </si>
  <si>
    <t>Rete 230V → 5V</t>
  </si>
  <si>
    <t>HLK-5M05 (class)</t>
  </si>
  <si>
    <t>Voce dominante della BOM</t>
  </si>
  <si>
    <t>LDO 3,3V</t>
  </si>
  <si>
    <t>5V → 3,3V per MCU</t>
  </si>
  <si>
    <t>AMS1117-3.3</t>
  </si>
  <si>
    <t>Margine sui picchi WiFi non richiesto (no radio)</t>
  </si>
  <si>
    <t>Passivi (decoupling, RC reset, snubber, bulk)</t>
  </si>
  <si>
    <t>Supporto</t>
  </si>
  <si>
    <t>—</t>
  </si>
  <si>
    <t>Decoupling, snubber TRIAC, bulk ingresso</t>
  </si>
  <si>
    <t>Connettori (morsettiere x3-4 + ingresso rete)</t>
  </si>
  <si>
    <t>I/O di potenza e segnale</t>
  </si>
  <si>
    <t>Morsettiere resistenza/motori/rete</t>
  </si>
  <si>
    <t>Header SWD / pad programmazione</t>
  </si>
  <si>
    <t>Flash / debug</t>
  </si>
  <si>
    <t>4-pin</t>
  </si>
  <si>
    <t>Header economico, sufficiente per prototipo/produzione</t>
  </si>
  <si>
    <t>JGB37-520 24V</t>
  </si>
  <si>
    <t xml:space="preserve">Motore </t>
  </si>
  <si>
    <t>JGB37-520-24160</t>
  </si>
  <si>
    <t>Motore planetaria</t>
  </si>
  <si>
    <t>DRV8870</t>
  </si>
  <si>
    <t>Driver H-Bridge</t>
  </si>
  <si>
    <t>Driver per motore DC 24V</t>
  </si>
  <si>
    <t>https://www.ti.com/product/DRV8870/part-details/DRV8870DDAR?keyMatch=DRV8870DDAR&amp;tisearch=universal_search&amp;usecase=OPN</t>
  </si>
  <si>
    <t>JGY370 24V</t>
  </si>
  <si>
    <t>JGY370-2460 130 rpm</t>
  </si>
  <si>
    <t>Motore per regolazione altezza padella</t>
  </si>
  <si>
    <t>https://www.alibaba.com/product-detail/XYT-JGY-370-High-Torque-Electric_62354679177.html?spm=a2700.prosearch.normal_offer.d_title.601767afkcEL6E&amp;priceId=12266ca7010f466d94f7df7e50f0e415</t>
  </si>
  <si>
    <t>JGY370-2460 200:1</t>
  </si>
  <si>
    <t>Motore per sistema rompi-uova</t>
  </si>
  <si>
    <t>SG90</t>
  </si>
  <si>
    <t>SG90-9G-01</t>
  </si>
  <si>
    <t xml:space="preserve">Motore per sportello ingredienti e separazione uova </t>
  </si>
  <si>
    <t>PCB 2 strati (piccola, @10k)</t>
  </si>
  <si>
    <t>Scheda</t>
  </si>
  <si>
    <t>2 strati, dimensione contenuta</t>
  </si>
  <si>
    <t>Subtotale componenti + PCB (per unità)</t>
  </si>
  <si>
    <t>Subtotale generale</t>
  </si>
  <si>
    <t>PARAMETRI E TOTALI</t>
  </si>
  <si>
    <t>Costo BOM / unità ($)</t>
  </si>
  <si>
    <t>Assemblaggio SMT/THT / unità ($)</t>
  </si>
  <si>
    <t>Costo totale / unità ($)</t>
  </si>
  <si>
    <t>Quantità (unità)</t>
  </si>
  <si>
    <t>Totale ex-works ($)</t>
  </si>
  <si>
    <t>Maggiorazione landed Italia (IVA+dazi+sped.)</t>
  </si>
  <si>
    <t>Totale landed Italia ($)</t>
  </si>
  <si>
    <t>Cambio USD → EUR</t>
  </si>
  <si>
    <t>Totale landed Italia (€)</t>
  </si>
  <si>
    <t>Costo landed / unità (€)</t>
  </si>
  <si>
    <t>Scenario: alimentazione DC ESTERNA (no rete a bordo)</t>
  </si>
  <si>
    <t>MCU STM32G0 (LQFP-48)</t>
  </si>
  <si>
    <t>STM32G071CBT6</t>
  </si>
  <si>
    <t>IWDG e BOR integrati = costo zero</t>
  </si>
  <si>
    <t>Cutoff sicurezza — STRATO 1</t>
  </si>
  <si>
    <t>OBBLIGATORIO per IEC 60730</t>
  </si>
  <si>
    <t>Backup del bimetallico</t>
  </si>
  <si>
    <t>Sensing loop termico</t>
  </si>
  <si>
    <t>MOSFET + gate driver (low-side)</t>
  </si>
  <si>
    <t>Pilotaggio resistenza in DC</t>
  </si>
  <si>
    <t>logic-level MOSFET</t>
  </si>
  <si>
    <t>Sostituisce opto-triac+TRIAC nello scenario DC</t>
  </si>
  <si>
    <t>DC-DC buck 3,3V</t>
  </si>
  <si>
    <t>Vin esterna → 3,3V</t>
  </si>
  <si>
    <t>TPS563 / MP2315 class</t>
  </si>
  <si>
    <t>Sostituisce modulo AC-DC + LDO</t>
  </si>
  <si>
    <t>Passivi (decoupling, gate, bulk)</t>
  </si>
  <si>
    <t>Connettori (morsettiere + jack DC)</t>
  </si>
  <si>
    <t>I/O</t>
  </si>
  <si>
    <t>Niente ingresso rete</t>
  </si>
  <si>
    <t>Più piccola (no sezione rete)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</si>
</sst>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€-2]\ #,##0.00"/>
    <numFmt numFmtId="165" formatCode="\$#,##0.00"/>
    <numFmt numFmtId="166" formatCode="\$#,##0"/>
    <numFmt numFmtId="167" formatCode="\€#,##0"/>
    <numFmt numFmtId="168" formatCode="\€#,##0.00"/>
  </numFmts>
  <fonts count="14">
    <font>
      <sz val="11.0"/>
      <color theme="1"/>
      <name val="Calibri"/>
      <scheme val="minor"/>
    </font>
    <font>
      <b/>
      <sz val="13.0"/>
      <color rgb="FF1F4E78"/>
      <name val="Arial"/>
    </font>
    <font>
      <i/>
      <sz val="10.0"/>
      <color rgb="FF595959"/>
      <name val="Arial"/>
    </font>
    <font>
      <i/>
      <sz val="9.0"/>
      <color rgb="FF808080"/>
      <name val="Arial"/>
    </font>
    <font>
      <b/>
      <sz val="10.0"/>
      <color rgb="FFFFFFFF"/>
      <name val="Arial"/>
    </font>
    <font>
      <sz val="10.0"/>
      <color rgb="FF000000"/>
      <name val="Arial"/>
    </font>
    <font>
      <b/>
      <sz val="10.0"/>
      <color rgb="FF000000"/>
      <name val="Arial"/>
    </font>
    <font>
      <sz val="10.0"/>
      <color rgb="FF0000FF"/>
      <name val="Arial"/>
    </font>
    <font>
      <u/>
      <color rgb="FF0000FF"/>
    </font>
    <font>
      <color theme="1"/>
      <name val="Calibri"/>
      <scheme val="minor"/>
    </font>
    <font>
      <u/>
      <color rgb="FF0000FF"/>
      <name val="Calibri"/>
      <scheme val="minor"/>
    </font>
    <font>
      <b/>
      <color theme="1"/>
      <name val="Calibri"/>
      <scheme val="minor"/>
    </font>
    <font>
      <u/>
      <color rgb="FF0000FF"/>
    </font>
    <font>
      <b/>
      <sz val="11.0"/>
      <color rgb="FF1F4E78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5">
    <border/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2" fontId="4" numFmtId="0" xfId="0" applyAlignment="1" applyBorder="1" applyFill="1" applyFont="1">
      <alignment horizontal="center" shrinkToFit="0" vertical="center" wrapText="1"/>
    </xf>
    <xf borderId="2" fillId="0" fontId="5" numFmtId="0" xfId="0" applyAlignment="1" applyBorder="1" applyFont="1">
      <alignment horizontal="center" shrinkToFit="0" vertical="center" wrapText="0"/>
    </xf>
    <xf borderId="2" fillId="0" fontId="6" numFmtId="0" xfId="0" applyAlignment="1" applyBorder="1" applyFont="1">
      <alignment horizontal="left" readingOrder="0" shrinkToFit="0" vertical="center" wrapText="1"/>
    </xf>
    <xf borderId="2" fillId="0" fontId="5" numFmtId="0" xfId="0" applyAlignment="1" applyBorder="1" applyFont="1">
      <alignment horizontal="left" shrinkToFit="0" vertical="center" wrapText="1"/>
    </xf>
    <xf borderId="2" fillId="0" fontId="5" numFmtId="0" xfId="0" applyAlignment="1" applyBorder="1" applyFont="1">
      <alignment horizontal="left" readingOrder="0" shrinkToFit="0" vertical="center" wrapText="1"/>
    </xf>
    <xf borderId="2" fillId="0" fontId="7" numFmtId="164" xfId="0" applyAlignment="1" applyBorder="1" applyFont="1" applyNumberFormat="1">
      <alignment horizontal="right" readingOrder="0" shrinkToFit="0" vertical="center" wrapText="0"/>
    </xf>
    <xf borderId="2" fillId="0" fontId="5" numFmtId="164" xfId="0" applyAlignment="1" applyBorder="1" applyFont="1" applyNumberFormat="1">
      <alignment horizontal="right" shrinkToFit="0" vertical="center" wrapText="0"/>
    </xf>
    <xf borderId="2" fillId="0" fontId="8" numFmtId="0" xfId="0" applyAlignment="1" applyBorder="1" applyFont="1">
      <alignment readingOrder="0"/>
    </xf>
    <xf borderId="2" fillId="0" fontId="5" numFmtId="0" xfId="0" applyAlignment="1" applyBorder="1" applyFont="1">
      <alignment horizontal="center" readingOrder="0" shrinkToFit="0" vertical="center" wrapText="0"/>
    </xf>
    <xf borderId="2" fillId="0" fontId="6" numFmtId="0" xfId="0" applyAlignment="1" applyBorder="1" applyFont="1">
      <alignment horizontal="left" shrinkToFit="0" vertical="center" wrapText="1"/>
    </xf>
    <xf borderId="2" fillId="0" fontId="7" numFmtId="164" xfId="0" applyAlignment="1" applyBorder="1" applyFont="1" applyNumberFormat="1">
      <alignment horizontal="right" shrinkToFit="0" vertical="center" wrapText="0"/>
    </xf>
    <xf borderId="2" fillId="0" fontId="9" numFmtId="0" xfId="0" applyBorder="1" applyFont="1"/>
    <xf borderId="2" fillId="0" fontId="10" numFmtId="0" xfId="0" applyAlignment="1" applyBorder="1" applyFont="1">
      <alignment readingOrder="0"/>
    </xf>
    <xf borderId="2" fillId="0" fontId="11" numFmtId="0" xfId="0" applyAlignment="1" applyBorder="1" applyFont="1">
      <alignment readingOrder="0"/>
    </xf>
    <xf borderId="2" fillId="0" fontId="9" numFmtId="0" xfId="0" applyAlignment="1" applyBorder="1" applyFont="1">
      <alignment readingOrder="0"/>
    </xf>
    <xf borderId="2" fillId="0" fontId="12" numFmtId="0" xfId="0" applyAlignment="1" applyBorder="1" applyFont="1">
      <alignment readingOrder="0"/>
    </xf>
    <xf borderId="3" fillId="3" fontId="6" numFmtId="0" xfId="0" applyAlignment="1" applyBorder="1" applyFill="1" applyFont="1">
      <alignment horizontal="left" readingOrder="0" shrinkToFit="0" vertical="center" wrapText="1"/>
    </xf>
    <xf borderId="3" fillId="3" fontId="6" numFmtId="0" xfId="0" applyAlignment="1" applyBorder="1" applyFont="1">
      <alignment horizontal="left" shrinkToFit="0" vertical="bottom" wrapText="0"/>
    </xf>
    <xf borderId="3" fillId="3" fontId="6" numFmtId="0" xfId="0" applyAlignment="1" applyBorder="1" applyFont="1">
      <alignment horizontal="left" shrinkToFit="0" vertical="center" wrapText="1"/>
    </xf>
    <xf borderId="3" fillId="3" fontId="6" numFmtId="164" xfId="0" applyAlignment="1" applyBorder="1" applyFont="1" applyNumberFormat="1">
      <alignment horizontal="right" shrinkToFit="0" vertical="center" wrapText="0"/>
    </xf>
    <xf borderId="4" fillId="3" fontId="6" numFmtId="0" xfId="0" applyAlignment="1" applyBorder="1" applyFont="1">
      <alignment horizontal="left" shrinkToFit="0" vertical="bottom" wrapText="0"/>
    </xf>
    <xf borderId="4" fillId="3" fontId="6" numFmtId="164" xfId="0" applyAlignment="1" applyBorder="1" applyFont="1" applyNumberFormat="1">
      <alignment horizontal="right" shrinkToFit="0" vertical="bottom" wrapText="0"/>
    </xf>
    <xf borderId="0" fillId="0" fontId="13" numFmtId="0" xfId="0" applyAlignment="1" applyFont="1">
      <alignment shrinkToFit="0" vertical="bottom" wrapText="0"/>
    </xf>
    <xf borderId="4" fillId="0" fontId="5" numFmtId="0" xfId="0" applyAlignment="1" applyBorder="1" applyFont="1">
      <alignment horizontal="left" shrinkToFit="0" vertical="center" wrapText="1"/>
    </xf>
    <xf borderId="4" fillId="0" fontId="5" numFmtId="165" xfId="0" applyAlignment="1" applyBorder="1" applyFont="1" applyNumberFormat="1">
      <alignment horizontal="right" shrinkToFit="0" vertical="center" wrapText="0"/>
    </xf>
    <xf borderId="4" fillId="4" fontId="5" numFmtId="0" xfId="0" applyAlignment="1" applyBorder="1" applyFill="1" applyFont="1">
      <alignment horizontal="left" shrinkToFit="0" vertical="center" wrapText="1"/>
    </xf>
    <xf borderId="4" fillId="4" fontId="7" numFmtId="165" xfId="0" applyAlignment="1" applyBorder="1" applyFont="1" applyNumberFormat="1">
      <alignment horizontal="right" shrinkToFit="0" vertical="center" wrapText="0"/>
    </xf>
    <xf borderId="4" fillId="5" fontId="6" numFmtId="0" xfId="0" applyAlignment="1" applyBorder="1" applyFill="1" applyFont="1">
      <alignment horizontal="left" shrinkToFit="0" vertical="center" wrapText="1"/>
    </xf>
    <xf borderId="4" fillId="5" fontId="6" numFmtId="165" xfId="0" applyAlignment="1" applyBorder="1" applyFont="1" applyNumberFormat="1">
      <alignment horizontal="right" shrinkToFit="0" vertical="center" wrapText="0"/>
    </xf>
    <xf borderId="4" fillId="4" fontId="7" numFmtId="3" xfId="0" applyAlignment="1" applyBorder="1" applyFont="1" applyNumberFormat="1">
      <alignment horizontal="right" shrinkToFit="0" vertical="center" wrapText="0"/>
    </xf>
    <xf borderId="4" fillId="5" fontId="6" numFmtId="166" xfId="0" applyAlignment="1" applyBorder="1" applyFont="1" applyNumberFormat="1">
      <alignment horizontal="right" shrinkToFit="0" vertical="center" wrapText="0"/>
    </xf>
    <xf borderId="4" fillId="4" fontId="7" numFmtId="9" xfId="0" applyAlignment="1" applyBorder="1" applyFont="1" applyNumberFormat="1">
      <alignment horizontal="right" shrinkToFit="0" vertical="center" wrapText="0"/>
    </xf>
    <xf borderId="4" fillId="4" fontId="7" numFmtId="2" xfId="0" applyAlignment="1" applyBorder="1" applyFont="1" applyNumberFormat="1">
      <alignment horizontal="right" shrinkToFit="0" vertical="center" wrapText="0"/>
    </xf>
    <xf borderId="4" fillId="5" fontId="6" numFmtId="167" xfId="0" applyAlignment="1" applyBorder="1" applyFont="1" applyNumberFormat="1">
      <alignment horizontal="right" shrinkToFit="0" vertical="center" wrapText="0"/>
    </xf>
    <xf borderId="4" fillId="5" fontId="6" numFmtId="168" xfId="0" applyAlignment="1" applyBorder="1" applyFont="1" applyNumberFormat="1">
      <alignment horizontal="right" shrinkToFit="0" vertical="center" wrapText="0"/>
    </xf>
    <xf borderId="4" fillId="2" fontId="4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horizontal="center" shrinkToFit="0" vertical="center" wrapText="0"/>
    </xf>
    <xf borderId="4" fillId="0" fontId="6" numFmtId="0" xfId="0" applyAlignment="1" applyBorder="1" applyFont="1">
      <alignment horizontal="left" shrinkToFit="0" vertical="center" wrapText="1"/>
    </xf>
    <xf borderId="4" fillId="0" fontId="7" numFmtId="165" xfId="0" applyAlignment="1" applyBorder="1" applyFont="1" applyNumberFormat="1">
      <alignment horizontal="right" shrinkToFit="0" vertical="center" wrapText="0"/>
    </xf>
    <xf borderId="4" fillId="3" fontId="6" numFmtId="0" xfId="0" applyAlignment="1" applyBorder="1" applyFont="1">
      <alignment horizontal="left" shrinkToFit="0" vertical="center" wrapText="1"/>
    </xf>
    <xf borderId="4" fillId="3" fontId="6" numFmtId="165" xfId="0" applyAlignment="1" applyBorder="1" applyFont="1" applyNumberFormat="1">
      <alignment horizontal="righ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digikey.it/it/products/detail/espressif-systems/esp32-s3/15822445" TargetMode="External"/><Relationship Id="rId3" Type="http://schemas.openxmlformats.org/officeDocument/2006/relationships/hyperlink" Target="https://www.digikey.it/it/products/detail/e-switch/SS0750301F040P1A/2639078" TargetMode="External"/><Relationship Id="rId4" Type="http://schemas.openxmlformats.org/officeDocument/2006/relationships/hyperlink" Target="https://www.ti.com/product/DRV8870/part-details/DRV8870DDAR?keyMatch=DRV8870DDAR&amp;tisearch=universal_search&amp;usecase=OPN" TargetMode="External"/><Relationship Id="rId5" Type="http://schemas.openxmlformats.org/officeDocument/2006/relationships/hyperlink" Target="https://www.alibaba.com/product-detail/XYT-JGY-370-High-Torque-Electric_62354679177.html?spm=a2700.prosearch.normal_offer.d_title.601767afkcEL6E&amp;priceId=12266ca7010f466d94f7df7e50f0e415" TargetMode="External"/><Relationship Id="rId6" Type="http://schemas.openxmlformats.org/officeDocument/2006/relationships/hyperlink" Target="https://www.alibaba.com/product-detail/XYT-JGY-370-High-Torque-Electric_62354679177.html?spm=a2700.prosearch.normal_offer.d_title.601767afkcEL6E&amp;priceId=12266ca7010f466d94f7df7e50f0e415" TargetMode="External"/><Relationship Id="rId7" Type="http://schemas.openxmlformats.org/officeDocument/2006/relationships/drawing" Target="../drawings/drawing1.xml"/><Relationship Id="rId8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5.0"/>
    <col customWidth="1" min="2" max="3" width="30.0"/>
    <col customWidth="1" min="4" max="4" width="20.0"/>
    <col customWidth="1" min="5" max="5" width="8.0"/>
    <col customWidth="1" min="6" max="7" width="13.0"/>
    <col customWidth="1" min="8" max="8" width="42.0"/>
    <col customWidth="1" min="9" max="9" width="41.0"/>
    <col customWidth="1" min="10" max="26" width="8.71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</row>
    <row r="6">
      <c r="A6" s="5">
        <v>1.0</v>
      </c>
      <c r="B6" s="6" t="s">
        <v>12</v>
      </c>
      <c r="C6" s="7" t="s">
        <v>13</v>
      </c>
      <c r="D6" s="8" t="s">
        <v>14</v>
      </c>
      <c r="E6" s="5">
        <v>1.0</v>
      </c>
      <c r="F6" s="9">
        <v>1.58</v>
      </c>
      <c r="G6" s="10">
        <f t="shared" ref="G6:G23" si="1">E6*F6</f>
        <v>1.58</v>
      </c>
      <c r="H6" s="7" t="s">
        <v>15</v>
      </c>
      <c r="I6" s="11" t="s">
        <v>16</v>
      </c>
    </row>
    <row r="7">
      <c r="A7" s="12">
        <v>2.0</v>
      </c>
      <c r="B7" s="6" t="s">
        <v>17</v>
      </c>
      <c r="C7" s="8" t="s">
        <v>18</v>
      </c>
      <c r="D7" s="8" t="s">
        <v>19</v>
      </c>
      <c r="E7" s="12">
        <v>4.0</v>
      </c>
      <c r="F7" s="9">
        <v>0.47</v>
      </c>
      <c r="G7" s="10">
        <f t="shared" si="1"/>
        <v>1.88</v>
      </c>
      <c r="H7" s="8" t="s">
        <v>20</v>
      </c>
      <c r="I7" s="11" t="s">
        <v>21</v>
      </c>
    </row>
    <row r="8">
      <c r="A8" s="5">
        <v>3.0</v>
      </c>
      <c r="B8" s="13" t="s">
        <v>22</v>
      </c>
      <c r="C8" s="7" t="s">
        <v>23</v>
      </c>
      <c r="D8" s="7" t="s">
        <v>24</v>
      </c>
      <c r="E8" s="5">
        <v>1.0</v>
      </c>
      <c r="F8" s="14">
        <v>0.3</v>
      </c>
      <c r="G8" s="10">
        <f t="shared" si="1"/>
        <v>0.3</v>
      </c>
      <c r="H8" s="7" t="s">
        <v>25</v>
      </c>
      <c r="I8" s="15"/>
    </row>
    <row r="9">
      <c r="A9" s="12">
        <v>4.0</v>
      </c>
      <c r="B9" s="13" t="s">
        <v>26</v>
      </c>
      <c r="C9" s="7" t="s">
        <v>27</v>
      </c>
      <c r="D9" s="7" t="s">
        <v>28</v>
      </c>
      <c r="E9" s="5" t="s">
        <v>29</v>
      </c>
      <c r="F9" s="14">
        <v>0.15</v>
      </c>
      <c r="G9" s="10">
        <f t="shared" si="1"/>
        <v>0.15</v>
      </c>
      <c r="H9" s="7" t="s">
        <v>30</v>
      </c>
      <c r="I9" s="15"/>
    </row>
    <row r="10">
      <c r="A10" s="5">
        <v>5.0</v>
      </c>
      <c r="B10" s="13" t="s">
        <v>31</v>
      </c>
      <c r="C10" s="7" t="s">
        <v>32</v>
      </c>
      <c r="D10" s="7" t="s">
        <v>33</v>
      </c>
      <c r="E10" s="5">
        <v>1.0</v>
      </c>
      <c r="F10" s="14">
        <v>0.1</v>
      </c>
      <c r="G10" s="10">
        <f t="shared" si="1"/>
        <v>0.1</v>
      </c>
      <c r="H10" s="7" t="s">
        <v>34</v>
      </c>
      <c r="I10" s="15"/>
    </row>
    <row r="11">
      <c r="A11" s="12">
        <v>6.0</v>
      </c>
      <c r="B11" s="13" t="s">
        <v>35</v>
      </c>
      <c r="C11" s="7" t="s">
        <v>36</v>
      </c>
      <c r="D11" s="7" t="s">
        <v>37</v>
      </c>
      <c r="E11" s="5">
        <v>1.0</v>
      </c>
      <c r="F11" s="14">
        <v>0.3</v>
      </c>
      <c r="G11" s="10">
        <f t="shared" si="1"/>
        <v>0.3</v>
      </c>
      <c r="H11" s="7" t="s">
        <v>38</v>
      </c>
      <c r="I11" s="15"/>
    </row>
    <row r="12">
      <c r="A12" s="5">
        <v>7.0</v>
      </c>
      <c r="B12" s="13" t="s">
        <v>39</v>
      </c>
      <c r="C12" s="7" t="s">
        <v>40</v>
      </c>
      <c r="D12" s="7" t="s">
        <v>41</v>
      </c>
      <c r="E12" s="5">
        <v>1.0</v>
      </c>
      <c r="F12" s="14">
        <v>0.4</v>
      </c>
      <c r="G12" s="10">
        <f t="shared" si="1"/>
        <v>0.4</v>
      </c>
      <c r="H12" s="7" t="s">
        <v>42</v>
      </c>
      <c r="I12" s="15"/>
    </row>
    <row r="13">
      <c r="A13" s="12">
        <v>8.0</v>
      </c>
      <c r="B13" s="13" t="s">
        <v>43</v>
      </c>
      <c r="C13" s="7" t="s">
        <v>44</v>
      </c>
      <c r="D13" s="7" t="s">
        <v>45</v>
      </c>
      <c r="E13" s="5">
        <v>1.0</v>
      </c>
      <c r="F13" s="14">
        <v>2.2</v>
      </c>
      <c r="G13" s="10">
        <f t="shared" si="1"/>
        <v>2.2</v>
      </c>
      <c r="H13" s="7" t="s">
        <v>46</v>
      </c>
      <c r="I13" s="15"/>
    </row>
    <row r="14">
      <c r="A14" s="5">
        <v>9.0</v>
      </c>
      <c r="B14" s="13" t="s">
        <v>47</v>
      </c>
      <c r="C14" s="7" t="s">
        <v>48</v>
      </c>
      <c r="D14" s="7" t="s">
        <v>49</v>
      </c>
      <c r="E14" s="5">
        <v>1.0</v>
      </c>
      <c r="F14" s="14">
        <v>0.08</v>
      </c>
      <c r="G14" s="10">
        <f t="shared" si="1"/>
        <v>0.08</v>
      </c>
      <c r="H14" s="7" t="s">
        <v>50</v>
      </c>
      <c r="I14" s="15"/>
    </row>
    <row r="15">
      <c r="A15" s="12">
        <v>10.0</v>
      </c>
      <c r="B15" s="13" t="s">
        <v>51</v>
      </c>
      <c r="C15" s="7" t="s">
        <v>52</v>
      </c>
      <c r="D15" s="7" t="s">
        <v>53</v>
      </c>
      <c r="E15" s="5">
        <v>1.0</v>
      </c>
      <c r="F15" s="14">
        <v>0.25</v>
      </c>
      <c r="G15" s="10">
        <f t="shared" si="1"/>
        <v>0.25</v>
      </c>
      <c r="H15" s="7" t="s">
        <v>54</v>
      </c>
      <c r="I15" s="15"/>
    </row>
    <row r="16">
      <c r="A16" s="5">
        <v>11.0</v>
      </c>
      <c r="B16" s="13" t="s">
        <v>55</v>
      </c>
      <c r="C16" s="7" t="s">
        <v>56</v>
      </c>
      <c r="D16" s="7" t="s">
        <v>53</v>
      </c>
      <c r="E16" s="5">
        <v>1.0</v>
      </c>
      <c r="F16" s="14">
        <v>0.55</v>
      </c>
      <c r="G16" s="10">
        <f t="shared" si="1"/>
        <v>0.55</v>
      </c>
      <c r="H16" s="7" t="s">
        <v>57</v>
      </c>
      <c r="I16" s="15"/>
    </row>
    <row r="17">
      <c r="A17" s="12">
        <v>12.0</v>
      </c>
      <c r="B17" s="13" t="s">
        <v>58</v>
      </c>
      <c r="C17" s="7" t="s">
        <v>59</v>
      </c>
      <c r="D17" s="7" t="s">
        <v>60</v>
      </c>
      <c r="E17" s="5">
        <v>1.0</v>
      </c>
      <c r="F17" s="14">
        <v>0.05</v>
      </c>
      <c r="G17" s="10">
        <f t="shared" si="1"/>
        <v>0.05</v>
      </c>
      <c r="H17" s="7" t="s">
        <v>61</v>
      </c>
      <c r="I17" s="15"/>
    </row>
    <row r="18">
      <c r="A18" s="5">
        <v>13.0</v>
      </c>
      <c r="B18" s="6" t="s">
        <v>62</v>
      </c>
      <c r="C18" s="8" t="s">
        <v>63</v>
      </c>
      <c r="D18" s="8" t="s">
        <v>64</v>
      </c>
      <c r="E18" s="12">
        <v>1.0</v>
      </c>
      <c r="F18" s="9">
        <v>2.39</v>
      </c>
      <c r="G18" s="10">
        <f t="shared" si="1"/>
        <v>2.39</v>
      </c>
      <c r="H18" s="8" t="s">
        <v>65</v>
      </c>
      <c r="I18" s="16"/>
    </row>
    <row r="19">
      <c r="A19" s="12">
        <v>14.0</v>
      </c>
      <c r="B19" s="6" t="s">
        <v>66</v>
      </c>
      <c r="C19" s="8" t="s">
        <v>67</v>
      </c>
      <c r="D19" s="8" t="s">
        <v>66</v>
      </c>
      <c r="E19" s="12">
        <v>2.0</v>
      </c>
      <c r="F19" s="9">
        <v>0.77</v>
      </c>
      <c r="G19" s="10">
        <f t="shared" si="1"/>
        <v>1.54</v>
      </c>
      <c r="H19" s="8" t="s">
        <v>68</v>
      </c>
      <c r="I19" s="11" t="s">
        <v>69</v>
      </c>
    </row>
    <row r="20" ht="25.5" customHeight="1">
      <c r="A20" s="5">
        <v>15.0</v>
      </c>
      <c r="B20" s="17" t="s">
        <v>70</v>
      </c>
      <c r="C20" s="8" t="s">
        <v>63</v>
      </c>
      <c r="D20" s="18" t="s">
        <v>71</v>
      </c>
      <c r="E20" s="12">
        <v>1.0</v>
      </c>
      <c r="F20" s="9">
        <v>3.67</v>
      </c>
      <c r="G20" s="10">
        <f t="shared" si="1"/>
        <v>3.67</v>
      </c>
      <c r="H20" s="8" t="s">
        <v>72</v>
      </c>
      <c r="I20" s="19" t="s">
        <v>73</v>
      </c>
    </row>
    <row r="21" ht="25.5" customHeight="1">
      <c r="A21" s="12">
        <v>16.0</v>
      </c>
      <c r="B21" s="17" t="s">
        <v>70</v>
      </c>
      <c r="C21" s="8" t="s">
        <v>63</v>
      </c>
      <c r="D21" s="18" t="s">
        <v>74</v>
      </c>
      <c r="E21" s="12">
        <v>1.0</v>
      </c>
      <c r="F21" s="9">
        <v>3.67</v>
      </c>
      <c r="G21" s="10">
        <f t="shared" si="1"/>
        <v>3.67</v>
      </c>
      <c r="H21" s="8" t="s">
        <v>75</v>
      </c>
      <c r="I21" s="19" t="s">
        <v>73</v>
      </c>
    </row>
    <row r="22">
      <c r="A22" s="5">
        <v>17.0</v>
      </c>
      <c r="B22" s="6" t="s">
        <v>76</v>
      </c>
      <c r="C22" s="8" t="s">
        <v>63</v>
      </c>
      <c r="D22" s="18" t="s">
        <v>77</v>
      </c>
      <c r="E22" s="12">
        <v>2.0</v>
      </c>
      <c r="F22" s="9">
        <v>0.0869</v>
      </c>
      <c r="G22" s="10">
        <f t="shared" si="1"/>
        <v>0.1738</v>
      </c>
      <c r="H22" s="8" t="s">
        <v>78</v>
      </c>
      <c r="I22" s="15"/>
    </row>
    <row r="23">
      <c r="A23" s="12">
        <v>18.0</v>
      </c>
      <c r="B23" s="13" t="s">
        <v>79</v>
      </c>
      <c r="C23" s="7" t="s">
        <v>80</v>
      </c>
      <c r="D23" s="7" t="s">
        <v>53</v>
      </c>
      <c r="E23" s="5">
        <v>1.0</v>
      </c>
      <c r="F23" s="14">
        <v>0.45</v>
      </c>
      <c r="G23" s="10">
        <f t="shared" si="1"/>
        <v>0.45</v>
      </c>
      <c r="H23" s="7" t="s">
        <v>81</v>
      </c>
      <c r="I23" s="15"/>
    </row>
    <row r="24">
      <c r="A24" s="20"/>
      <c r="B24" s="21" t="s">
        <v>82</v>
      </c>
      <c r="C24" s="22"/>
      <c r="D24" s="22"/>
      <c r="E24" s="22"/>
      <c r="F24" s="22"/>
      <c r="G24" s="23">
        <f>SUM(G6:G23)</f>
        <v>19.7338</v>
      </c>
    </row>
    <row r="25">
      <c r="A25" s="24"/>
      <c r="B25" s="24" t="s">
        <v>83</v>
      </c>
      <c r="C25" s="24"/>
      <c r="D25" s="24"/>
      <c r="E25" s="24"/>
      <c r="F25" s="24"/>
      <c r="G25" s="25">
        <f>G24*10000</f>
        <v>197338</v>
      </c>
    </row>
    <row r="26">
      <c r="B26" s="26"/>
    </row>
    <row r="27">
      <c r="B27" s="26" t="s">
        <v>84</v>
      </c>
    </row>
    <row r="28" ht="15.75" customHeight="1">
      <c r="B28" s="27" t="s">
        <v>85</v>
      </c>
      <c r="C28" s="28">
        <f>G24</f>
        <v>19.7338</v>
      </c>
    </row>
    <row r="29" ht="15.75" customHeight="1">
      <c r="B29" s="29" t="s">
        <v>86</v>
      </c>
      <c r="C29" s="30">
        <v>0.8</v>
      </c>
    </row>
    <row r="30" ht="15.75" customHeight="1">
      <c r="B30" s="31" t="s">
        <v>87</v>
      </c>
      <c r="C30" s="32">
        <f>C28+C29</f>
        <v>20.5338</v>
      </c>
    </row>
    <row r="31" ht="15.75" customHeight="1">
      <c r="B31" s="29" t="s">
        <v>88</v>
      </c>
      <c r="C31" s="33">
        <v>10000.0</v>
      </c>
    </row>
    <row r="32" ht="15.75" customHeight="1">
      <c r="B32" s="31" t="s">
        <v>89</v>
      </c>
      <c r="C32" s="34">
        <f>C30*C31</f>
        <v>205338</v>
      </c>
    </row>
    <row r="33" ht="15.75" customHeight="1">
      <c r="B33" s="29" t="s">
        <v>90</v>
      </c>
      <c r="C33" s="35">
        <v>0.27</v>
      </c>
    </row>
    <row r="34" ht="15.75" customHeight="1">
      <c r="B34" s="31" t="s">
        <v>91</v>
      </c>
      <c r="C34" s="34">
        <f>C32*(1+C33)</f>
        <v>260779.26</v>
      </c>
    </row>
    <row r="35" ht="15.75" customHeight="1">
      <c r="B35" s="29" t="s">
        <v>92</v>
      </c>
      <c r="C35" s="36">
        <v>0.92</v>
      </c>
    </row>
    <row r="36" ht="15.75" customHeight="1">
      <c r="B36" s="31" t="s">
        <v>93</v>
      </c>
      <c r="C36" s="37">
        <f>C34*C35</f>
        <v>239916.9192</v>
      </c>
    </row>
    <row r="37" ht="15.75" customHeight="1">
      <c r="B37" s="31" t="s">
        <v>94</v>
      </c>
      <c r="C37" s="38">
        <f>C36/C31</f>
        <v>23.99169192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hyperlinks>
    <hyperlink r:id="rId2" ref="I6"/>
    <hyperlink r:id="rId3" ref="I7"/>
    <hyperlink r:id="rId4" ref="I19"/>
    <hyperlink r:id="rId5" ref="I20"/>
    <hyperlink r:id="rId6" ref="I21"/>
  </hyperlinks>
  <printOptions/>
  <pageMargins bottom="1.0" footer="0.0" header="0.0" left="0.75" right="0.75" top="1.0"/>
  <pageSetup paperSize="9" orientation="portrait"/>
  <drawing r:id="rId7"/>
  <legacy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5.0"/>
    <col customWidth="1" min="2" max="3" width="30.0"/>
    <col customWidth="1" min="4" max="4" width="20.0"/>
    <col customWidth="1" min="5" max="5" width="8.0"/>
    <col customWidth="1" min="6" max="7" width="13.0"/>
    <col customWidth="1" min="8" max="8" width="42.0"/>
    <col customWidth="1" min="9" max="26" width="8.71"/>
  </cols>
  <sheetData>
    <row r="1">
      <c r="A1" s="1" t="s">
        <v>0</v>
      </c>
    </row>
    <row r="2">
      <c r="A2" s="2" t="s">
        <v>95</v>
      </c>
    </row>
    <row r="3">
      <c r="A3" s="3" t="s">
        <v>2</v>
      </c>
    </row>
    <row r="5">
      <c r="A5" s="39" t="s">
        <v>3</v>
      </c>
      <c r="B5" s="39" t="s">
        <v>4</v>
      </c>
      <c r="C5" s="39" t="s">
        <v>5</v>
      </c>
      <c r="D5" s="39" t="s">
        <v>6</v>
      </c>
      <c r="E5" s="39" t="s">
        <v>7</v>
      </c>
      <c r="F5" s="39" t="s">
        <v>8</v>
      </c>
      <c r="G5" s="39" t="s">
        <v>9</v>
      </c>
      <c r="H5" s="39" t="s">
        <v>10</v>
      </c>
    </row>
    <row r="6">
      <c r="A6" s="40">
        <v>1.0</v>
      </c>
      <c r="B6" s="41" t="s">
        <v>96</v>
      </c>
      <c r="C6" s="27" t="s">
        <v>13</v>
      </c>
      <c r="D6" s="27" t="s">
        <v>97</v>
      </c>
      <c r="E6" s="40">
        <v>1.0</v>
      </c>
      <c r="F6" s="42">
        <v>1.1</v>
      </c>
      <c r="G6" s="28">
        <f t="shared" ref="G6:G15" si="1">E6*F6</f>
        <v>1.1</v>
      </c>
      <c r="H6" s="27" t="s">
        <v>98</v>
      </c>
    </row>
    <row r="7">
      <c r="A7" s="40">
        <v>2.0</v>
      </c>
      <c r="B7" s="41" t="s">
        <v>22</v>
      </c>
      <c r="C7" s="27" t="s">
        <v>99</v>
      </c>
      <c r="D7" s="27" t="s">
        <v>24</v>
      </c>
      <c r="E7" s="40">
        <v>1.0</v>
      </c>
      <c r="F7" s="42">
        <v>0.3</v>
      </c>
      <c r="G7" s="28">
        <f t="shared" si="1"/>
        <v>0.3</v>
      </c>
      <c r="H7" s="27" t="s">
        <v>100</v>
      </c>
    </row>
    <row r="8">
      <c r="A8" s="40">
        <v>3.0</v>
      </c>
      <c r="B8" s="41" t="s">
        <v>26</v>
      </c>
      <c r="C8" s="27" t="s">
        <v>27</v>
      </c>
      <c r="D8" s="27" t="s">
        <v>28</v>
      </c>
      <c r="E8" s="40">
        <v>1.0</v>
      </c>
      <c r="F8" s="42">
        <v>0.15</v>
      </c>
      <c r="G8" s="28">
        <f t="shared" si="1"/>
        <v>0.15</v>
      </c>
      <c r="H8" s="27" t="s">
        <v>101</v>
      </c>
    </row>
    <row r="9">
      <c r="A9" s="40">
        <v>4.0</v>
      </c>
      <c r="B9" s="41" t="s">
        <v>31</v>
      </c>
      <c r="C9" s="27" t="s">
        <v>102</v>
      </c>
      <c r="D9" s="27" t="s">
        <v>33</v>
      </c>
      <c r="E9" s="40">
        <v>1.0</v>
      </c>
      <c r="F9" s="42">
        <v>0.1</v>
      </c>
      <c r="G9" s="28">
        <f t="shared" si="1"/>
        <v>0.1</v>
      </c>
      <c r="H9" s="27"/>
    </row>
    <row r="10">
      <c r="A10" s="40">
        <v>5.0</v>
      </c>
      <c r="B10" s="41" t="s">
        <v>103</v>
      </c>
      <c r="C10" s="27" t="s">
        <v>104</v>
      </c>
      <c r="D10" s="27" t="s">
        <v>105</v>
      </c>
      <c r="E10" s="40">
        <v>1.0</v>
      </c>
      <c r="F10" s="42">
        <v>0.25</v>
      </c>
      <c r="G10" s="28">
        <f t="shared" si="1"/>
        <v>0.25</v>
      </c>
      <c r="H10" s="27" t="s">
        <v>106</v>
      </c>
    </row>
    <row r="11">
      <c r="A11" s="40">
        <v>6.0</v>
      </c>
      <c r="B11" s="41" t="s">
        <v>107</v>
      </c>
      <c r="C11" s="27" t="s">
        <v>108</v>
      </c>
      <c r="D11" s="27" t="s">
        <v>109</v>
      </c>
      <c r="E11" s="40">
        <v>1.0</v>
      </c>
      <c r="F11" s="42">
        <v>0.35</v>
      </c>
      <c r="G11" s="28">
        <f t="shared" si="1"/>
        <v>0.35</v>
      </c>
      <c r="H11" s="27" t="s">
        <v>110</v>
      </c>
    </row>
    <row r="12">
      <c r="A12" s="40">
        <v>7.0</v>
      </c>
      <c r="B12" s="41" t="s">
        <v>111</v>
      </c>
      <c r="C12" s="27" t="s">
        <v>52</v>
      </c>
      <c r="D12" s="27" t="s">
        <v>53</v>
      </c>
      <c r="E12" s="40">
        <v>1.0</v>
      </c>
      <c r="F12" s="42">
        <v>0.2</v>
      </c>
      <c r="G12" s="28">
        <f t="shared" si="1"/>
        <v>0.2</v>
      </c>
      <c r="H12" s="27"/>
    </row>
    <row r="13">
      <c r="A13" s="40">
        <v>8.0</v>
      </c>
      <c r="B13" s="41" t="s">
        <v>112</v>
      </c>
      <c r="C13" s="27" t="s">
        <v>113</v>
      </c>
      <c r="D13" s="27" t="s">
        <v>53</v>
      </c>
      <c r="E13" s="40">
        <v>1.0</v>
      </c>
      <c r="F13" s="42">
        <v>0.45</v>
      </c>
      <c r="G13" s="28">
        <f t="shared" si="1"/>
        <v>0.45</v>
      </c>
      <c r="H13" s="27" t="s">
        <v>114</v>
      </c>
    </row>
    <row r="14">
      <c r="A14" s="40">
        <v>9.0</v>
      </c>
      <c r="B14" s="41" t="s">
        <v>58</v>
      </c>
      <c r="C14" s="27" t="s">
        <v>59</v>
      </c>
      <c r="D14" s="27" t="s">
        <v>60</v>
      </c>
      <c r="E14" s="40">
        <v>1.0</v>
      </c>
      <c r="F14" s="42">
        <v>0.05</v>
      </c>
      <c r="G14" s="28">
        <f t="shared" si="1"/>
        <v>0.05</v>
      </c>
      <c r="H14" s="27"/>
    </row>
    <row r="15">
      <c r="A15" s="40">
        <v>10.0</v>
      </c>
      <c r="B15" s="41" t="s">
        <v>79</v>
      </c>
      <c r="C15" s="27" t="s">
        <v>80</v>
      </c>
      <c r="D15" s="27" t="s">
        <v>53</v>
      </c>
      <c r="E15" s="40">
        <v>1.0</v>
      </c>
      <c r="F15" s="42">
        <v>0.4</v>
      </c>
      <c r="G15" s="28">
        <f t="shared" si="1"/>
        <v>0.4</v>
      </c>
      <c r="H15" s="27" t="s">
        <v>115</v>
      </c>
    </row>
    <row r="16">
      <c r="A16" s="43"/>
      <c r="B16" s="24" t="s">
        <v>82</v>
      </c>
      <c r="C16" s="43"/>
      <c r="D16" s="43"/>
      <c r="E16" s="43"/>
      <c r="F16" s="43"/>
      <c r="G16" s="44">
        <f>SUM(G6:G15)</f>
        <v>3.35</v>
      </c>
    </row>
    <row r="18">
      <c r="B18" s="26" t="s">
        <v>84</v>
      </c>
    </row>
    <row r="19">
      <c r="B19" s="27" t="s">
        <v>85</v>
      </c>
      <c r="C19" s="28">
        <f>G16</f>
        <v>3.35</v>
      </c>
    </row>
    <row r="20">
      <c r="B20" s="29" t="s">
        <v>86</v>
      </c>
      <c r="C20" s="30">
        <v>0.8</v>
      </c>
    </row>
    <row r="21" ht="15.75" customHeight="1">
      <c r="B21" s="31" t="s">
        <v>87</v>
      </c>
      <c r="C21" s="32">
        <f>C19+C20</f>
        <v>4.15</v>
      </c>
    </row>
    <row r="22" ht="15.75" customHeight="1">
      <c r="B22" s="29" t="s">
        <v>88</v>
      </c>
      <c r="C22" s="33">
        <v>10000.0</v>
      </c>
    </row>
    <row r="23" ht="15.75" customHeight="1">
      <c r="B23" s="31" t="s">
        <v>89</v>
      </c>
      <c r="C23" s="34">
        <f>C21*C22</f>
        <v>41500</v>
      </c>
    </row>
    <row r="24" ht="15.75" customHeight="1">
      <c r="B24" s="29" t="s">
        <v>90</v>
      </c>
      <c r="C24" s="35">
        <v>0.27</v>
      </c>
    </row>
    <row r="25" ht="15.75" customHeight="1">
      <c r="B25" s="31" t="s">
        <v>91</v>
      </c>
      <c r="C25" s="34">
        <f>C23*(1+C24)</f>
        <v>52705</v>
      </c>
    </row>
    <row r="26" ht="15.75" customHeight="1">
      <c r="B26" s="29" t="s">
        <v>92</v>
      </c>
      <c r="C26" s="36">
        <v>0.92</v>
      </c>
    </row>
    <row r="27" ht="15.75" customHeight="1">
      <c r="B27" s="31" t="s">
        <v>93</v>
      </c>
      <c r="C27" s="37">
        <f>C25*C26</f>
        <v>48488.6</v>
      </c>
    </row>
    <row r="28" ht="15.75" customHeight="1">
      <c r="B28" s="31" t="s">
        <v>94</v>
      </c>
      <c r="C28" s="38">
        <f>C27/C22</f>
        <v>4.84886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