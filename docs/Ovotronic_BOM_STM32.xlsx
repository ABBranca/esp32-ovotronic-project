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comments2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OM STM32 (rete AC)" sheetId="1" state="visible" r:id="rId3"/>
    <sheet name="Scenario DC esterno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H6" authorId="0">
      <text>
        <r>
          <rPr>
            <sz val="10"/>
            <rFont val="Arial"/>
            <family val="2"/>
          </rPr>
          <t xml:space="preserve">Source: LCSC, 28/05/2026, STM32G071CBU3 da $1,4459 @1pz; stima ~$1,10 a 10k (curva sconto volume). https://www.lcsc.com</t>
        </r>
      </text>
    </comment>
    <comment ref="H7" authorId="0">
      <text>
        <r>
          <rPr>
            <sz val="10"/>
            <rFont val="Arial"/>
            <family val="2"/>
          </rPr>
          <t xml:space="preserve">Stima commodity, da blindare con RFQ</t>
        </r>
      </text>
    </comment>
    <comment ref="H8" authorId="0">
      <text>
        <r>
          <rPr>
            <sz val="10"/>
            <rFont val="Arial"/>
            <family val="2"/>
          </rPr>
          <t xml:space="preserve">Stima commodity, da blindare con RFQ</t>
        </r>
      </text>
    </comment>
    <comment ref="H9" authorId="0">
      <text>
        <r>
          <rPr>
            <sz val="10"/>
            <rFont val="Arial"/>
            <family val="2"/>
          </rPr>
          <t xml:space="preserve">Stima commodity</t>
        </r>
      </text>
    </comment>
    <comment ref="H10" authorId="0">
      <text>
        <r>
          <rPr>
            <sz val="10"/>
            <rFont val="Arial"/>
            <family val="2"/>
          </rPr>
          <t xml:space="preserve">Stima commodity</t>
        </r>
      </text>
    </comment>
    <comment ref="H11" authorId="0">
      <text>
        <r>
          <rPr>
            <sz val="10"/>
            <rFont val="Arial"/>
            <family val="2"/>
          </rPr>
          <t xml:space="preserve">Stima commodity</t>
        </r>
      </text>
    </comment>
    <comment ref="H12" authorId="0">
      <text>
        <r>
          <rPr>
            <sz val="10"/>
            <rFont val="Arial"/>
            <family val="2"/>
          </rPr>
          <t xml:space="preserve">Stima modulo AC-DC compatto</t>
        </r>
      </text>
    </comment>
    <comment ref="H13" authorId="0">
      <text>
        <r>
          <rPr>
            <sz val="10"/>
            <rFont val="Arial"/>
            <family val="2"/>
          </rPr>
          <t xml:space="preserve">Stima commodity</t>
        </r>
      </text>
    </comment>
    <comment ref="H14" authorId="0">
      <text>
        <r>
          <rPr>
            <sz val="10"/>
            <rFont val="Arial"/>
            <family val="2"/>
          </rPr>
          <t xml:space="preserve">Stima aggregata</t>
        </r>
      </text>
    </comment>
    <comment ref="H15" authorId="0">
      <text>
        <r>
          <rPr>
            <sz val="10"/>
            <rFont val="Arial"/>
            <family val="2"/>
          </rPr>
          <t xml:space="preserve">Stima aggregata</t>
        </r>
      </text>
    </comment>
    <comment ref="H16" authorId="0">
      <text>
        <r>
          <rPr>
            <sz val="10"/>
            <rFont val="Arial"/>
            <family val="2"/>
          </rPr>
          <t xml:space="preserve">Stima commodity</t>
        </r>
      </text>
    </comment>
    <comment ref="H17" authorId="0">
      <text>
        <r>
          <rPr>
            <sz val="10"/>
            <rFont val="Arial"/>
            <family val="2"/>
          </rPr>
          <t xml:space="preserve">Stima PCB @10k</t>
        </r>
      </text>
    </comment>
  </commentList>
</comments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H6" authorId="0">
      <text>
        <r>
          <rPr>
            <sz val="10"/>
            <rFont val="Arial"/>
            <family val="2"/>
          </rPr>
          <t xml:space="preserve">Source: LCSC, 28/05/2026, STM32G071CBU3 da $1,4459 @1pz; stima ~$1,10 a 10k. https://www.lcsc.com</t>
        </r>
      </text>
    </comment>
    <comment ref="H7" authorId="0">
      <text>
        <r>
          <rPr>
            <sz val="10"/>
            <rFont val="Arial"/>
            <family val="2"/>
          </rPr>
          <t xml:space="preserve">Stima commodity</t>
        </r>
      </text>
    </comment>
    <comment ref="H8" authorId="0">
      <text>
        <r>
          <rPr>
            <sz val="10"/>
            <rFont val="Arial"/>
            <family val="2"/>
          </rPr>
          <t xml:space="preserve">Stima commodity</t>
        </r>
      </text>
    </comment>
    <comment ref="H9" authorId="0">
      <text>
        <r>
          <rPr>
            <sz val="10"/>
            <rFont val="Arial"/>
            <family val="2"/>
          </rPr>
          <t xml:space="preserve">Stima commodity</t>
        </r>
      </text>
    </comment>
    <comment ref="H10" authorId="0">
      <text>
        <r>
          <rPr>
            <sz val="10"/>
            <rFont val="Arial"/>
            <family val="2"/>
          </rPr>
          <t xml:space="preserve">Stima commodity</t>
        </r>
      </text>
    </comment>
    <comment ref="H11" authorId="0">
      <text>
        <r>
          <rPr>
            <sz val="10"/>
            <rFont val="Arial"/>
            <family val="2"/>
          </rPr>
          <t xml:space="preserve">Stima commodity</t>
        </r>
      </text>
    </comment>
    <comment ref="H12" authorId="0">
      <text>
        <r>
          <rPr>
            <sz val="10"/>
            <rFont val="Arial"/>
            <family val="2"/>
          </rPr>
          <t xml:space="preserve">Stima aggregata</t>
        </r>
      </text>
    </comment>
    <comment ref="H13" authorId="0">
      <text>
        <r>
          <rPr>
            <sz val="10"/>
            <rFont val="Arial"/>
            <family val="2"/>
          </rPr>
          <t xml:space="preserve">Stima aggregata</t>
        </r>
      </text>
    </comment>
    <comment ref="H14" authorId="0">
      <text>
        <r>
          <rPr>
            <sz val="10"/>
            <rFont val="Arial"/>
            <family val="2"/>
          </rPr>
          <t xml:space="preserve">Stima commodity</t>
        </r>
      </text>
    </comment>
    <comment ref="H15" authorId="0">
      <text>
        <r>
          <rPr>
            <sz val="10"/>
            <rFont val="Arial"/>
            <family val="2"/>
          </rPr>
          <t xml:space="preserve">Stima PCB @10k</t>
        </r>
      </text>
    </comment>
  </commentList>
</comments>
</file>

<file path=xl/sharedStrings.xml><?xml version="1.0" encoding="utf-8"?>
<sst xmlns="http://schemas.openxmlformats.org/spreadsheetml/2006/main" count="132" uniqueCount="89">
  <si>
    <t xml:space="preserve">Ovotronic — BOM catena controllo + sicurezza (STM32 + cutoff termico)</t>
  </si>
  <si>
    <t xml:space="preserve">Scenario: alimentazione da RETE (resistenza AC)</t>
  </si>
  <si>
    <t xml:space="preserve">Volume: 10.000 unità · Valuta base: USD · Esclude attuatori/resistenza/carcassa/display</t>
  </si>
  <si>
    <t xml:space="preserve">#</t>
  </si>
  <si>
    <t xml:space="preserve">Componente</t>
  </si>
  <si>
    <t xml:space="preserve">Funzione</t>
  </si>
  <si>
    <t xml:space="preserve">MPN tipico</t>
  </si>
  <si>
    <t xml:space="preserve">Q.tà/
unità</t>
  </si>
  <si>
    <t xml:space="preserve">Prezzo unit.
@10k ($)</t>
  </si>
  <si>
    <t xml:space="preserve">Costo/unità
($)</t>
  </si>
  <si>
    <t xml:space="preserve">Fonte / Nota</t>
  </si>
  <si>
    <t xml:space="preserve">MCU STM32G0 (LQFP-48)</t>
  </si>
  <si>
    <t xml:space="preserve">Controllo + IWDG + brown-out (BOR)</t>
  </si>
  <si>
    <t xml:space="preserve">STM32G071CBT6</t>
  </si>
  <si>
    <t xml:space="preserve">IWDG e BOR integrati nel silicio = costo zero</t>
  </si>
  <si>
    <t xml:space="preserve">Switch termico bimetallico (reset)</t>
  </si>
  <si>
    <t xml:space="preserve">Cutoff sicurezza — STRATO 1 (indipendente da MCU)</t>
  </si>
  <si>
    <t xml:space="preserve">KSD9700 (soglia da definire)</t>
  </si>
  <si>
    <t xml:space="preserve">OBBLIGATORIO per IEC 60730. Taglia la resistenza a monte dell'MCU</t>
  </si>
  <si>
    <t xml:space="preserve">Termofusibile one-shot (TCO)</t>
  </si>
  <si>
    <t xml:space="preserve">Sicurezza ultima istanza</t>
  </si>
  <si>
    <t xml:space="preserve">TCO ~10A</t>
  </si>
  <si>
    <t xml:space="preserve">1</t>
  </si>
  <si>
    <t xml:space="preserve">Backup non resettabile del bimetallico</t>
  </si>
  <si>
    <t xml:space="preserve">NTC 100k + resistore rif. 0,1%</t>
  </si>
  <si>
    <t xml:space="preserve">Sensing loop termico (PID)</t>
  </si>
  <si>
    <t xml:space="preserve">NTC + ref 0.1%</t>
  </si>
  <si>
    <t xml:space="preserve">Non usare l'ADC interno per misura critica</t>
  </si>
  <si>
    <t xml:space="preserve">Opto-triac driver zero-cross</t>
  </si>
  <si>
    <t xml:space="preserve">Gate drive isolato della resistenza</t>
  </si>
  <si>
    <t xml:space="preserve">MOC3063</t>
  </si>
  <si>
    <t xml:space="preserve">Isolamento galvanico rete/logica</t>
  </si>
  <si>
    <t xml:space="preserve">TRIAC</t>
  </si>
  <si>
    <t xml:space="preserve">Commutazione resistenza AC</t>
  </si>
  <si>
    <t xml:space="preserve">BTA16-600B</t>
  </si>
  <si>
    <t xml:space="preserve">Dimensionare su corrente resistenza</t>
  </si>
  <si>
    <t xml:space="preserve">Modulo AC-DC 5V</t>
  </si>
  <si>
    <t xml:space="preserve">Rete 230V → 5V</t>
  </si>
  <si>
    <t xml:space="preserve">HLK-5M05 (class)</t>
  </si>
  <si>
    <t xml:space="preserve">Voce dominante della BOM</t>
  </si>
  <si>
    <t xml:space="preserve">LDO 3,3V</t>
  </si>
  <si>
    <t xml:space="preserve">5V → 3,3V per MCU</t>
  </si>
  <si>
    <t xml:space="preserve">AMS1117-3.3</t>
  </si>
  <si>
    <t xml:space="preserve">Margine sui picchi WiFi non richiesto (no radio)</t>
  </si>
  <si>
    <t xml:space="preserve">Passivi (decoupling, RC reset, snubber, bulk)</t>
  </si>
  <si>
    <t xml:space="preserve">Supporto</t>
  </si>
  <si>
    <t xml:space="preserve">—</t>
  </si>
  <si>
    <t xml:space="preserve">Decoupling, snubber TRIAC, bulk ingresso</t>
  </si>
  <si>
    <t xml:space="preserve">Connettori (morsettiere x3-4 + ingresso rete)</t>
  </si>
  <si>
    <t xml:space="preserve">I/O di potenza e segnale</t>
  </si>
  <si>
    <t xml:space="preserve">Morsettiere resistenza/motori/rete</t>
  </si>
  <si>
    <t xml:space="preserve">Header SWD / pad programmazione</t>
  </si>
  <si>
    <t xml:space="preserve">Flash / debug</t>
  </si>
  <si>
    <t xml:space="preserve">4-pin</t>
  </si>
  <si>
    <t xml:space="preserve">Header economico, sufficiente per prototipo/produzione</t>
  </si>
  <si>
    <t xml:space="preserve">PCB 2 strati (piccola, @10k)</t>
  </si>
  <si>
    <t xml:space="preserve">Scheda</t>
  </si>
  <si>
    <t xml:space="preserve">2 strati, dimensione contenuta</t>
  </si>
  <si>
    <t xml:space="preserve">Subtotale componenti + PCB (per unità)</t>
  </si>
  <si>
    <t xml:space="preserve">PARAMETRI E TOTALI</t>
  </si>
  <si>
    <t xml:space="preserve">Costo BOM / unità ($)</t>
  </si>
  <si>
    <t xml:space="preserve">Assemblaggio SMT/THT / unità ($)</t>
  </si>
  <si>
    <t xml:space="preserve">Costo totale / unità ($)</t>
  </si>
  <si>
    <t xml:space="preserve">Quantità (unità)</t>
  </si>
  <si>
    <t xml:space="preserve">Totale ex-works ($)</t>
  </si>
  <si>
    <t xml:space="preserve">Maggiorazione landed Italia (IVA+dazi+sped.)</t>
  </si>
  <si>
    <t xml:space="preserve">Totale landed Italia ($)</t>
  </si>
  <si>
    <t xml:space="preserve">Cambio USD → EUR</t>
  </si>
  <si>
    <t xml:space="preserve">Totale landed Italia (€)</t>
  </si>
  <si>
    <t xml:space="preserve">Costo landed / unità (€)</t>
  </si>
  <si>
    <t xml:space="preserve">Scenario: alimentazione DC ESTERNA (no rete a bordo)</t>
  </si>
  <si>
    <t xml:space="preserve">IWDG e BOR integrati = costo zero</t>
  </si>
  <si>
    <t xml:space="preserve">Cutoff sicurezza — STRATO 1</t>
  </si>
  <si>
    <t xml:space="preserve">OBBLIGATORIO per IEC 60730</t>
  </si>
  <si>
    <t xml:space="preserve">Backup del bimetallico</t>
  </si>
  <si>
    <t xml:space="preserve">Sensing loop termico</t>
  </si>
  <si>
    <t xml:space="preserve">MOSFET + gate driver (low-side)</t>
  </si>
  <si>
    <t xml:space="preserve">Pilotaggio resistenza in DC</t>
  </si>
  <si>
    <t xml:space="preserve">logic-level MOSFET</t>
  </si>
  <si>
    <t xml:space="preserve">Sostituisce opto-triac+TRIAC nello scenario DC</t>
  </si>
  <si>
    <t xml:space="preserve">DC-DC buck 3,3V</t>
  </si>
  <si>
    <t xml:space="preserve">Vin esterna → 3,3V</t>
  </si>
  <si>
    <t xml:space="preserve">TPS563 / MP2315 class</t>
  </si>
  <si>
    <t xml:space="preserve">Sostituisce modulo AC-DC + LDO</t>
  </si>
  <si>
    <t xml:space="preserve">Passivi (decoupling, gate, bulk)</t>
  </si>
  <si>
    <t xml:space="preserve">Connettori (morsettiere + jack DC)</t>
  </si>
  <si>
    <t xml:space="preserve">I/O</t>
  </si>
  <si>
    <t xml:space="preserve">Niente ingresso rete</t>
  </si>
  <si>
    <t xml:space="preserve">Più piccola (no sezione rete)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</si>
</sst>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\$#,##0.00"/>
    <numFmt numFmtId="166" formatCode="#,##0"/>
    <numFmt numFmtId="167" formatCode="\$#,##0"/>
    <numFmt numFmtId="168" formatCode="0%"/>
    <numFmt numFmtId="169" formatCode="0.00"/>
    <numFmt numFmtId="170" formatCode="\€#,##0"/>
    <numFmt numFmtId="171" formatCode="\€#,##0.0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1F4E78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1"/>
      <color rgb="FF1F4E78"/>
      <name val="Arial"/>
      <family val="0"/>
      <charset val="1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9E1F2"/>
        <bgColor rgb="FFE2EFDA"/>
      </patternFill>
    </fill>
    <fill>
      <patternFill patternType="solid">
        <fgColor rgb="FFFFF2CC"/>
        <bgColor rgb="FFE2EFDA"/>
      </patternFill>
    </fill>
    <fill>
      <patternFill patternType="solid">
        <fgColor rgb="FFE2EFDA"/>
        <bgColor rgb="FFD9E1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0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9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0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9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0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9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0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10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9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9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3" min="2" style="0" width="30"/>
    <col collapsed="false" customWidth="true" hidden="false" outlineLevel="0" max="4" min="4" style="0" width="20"/>
    <col collapsed="false" customWidth="true" hidden="false" outlineLevel="0" max="5" min="5" style="0" width="8"/>
    <col collapsed="false" customWidth="true" hidden="false" outlineLevel="0" max="7" min="6" style="0" width="13"/>
    <col collapsed="false" customWidth="true" hidden="false" outlineLevel="0" max="8" min="8" style="0" width="42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</row>
    <row r="5" customFormat="false" ht="23.85" hidden="false" customHeight="fals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</row>
    <row r="6" customFormat="false" ht="23.85" hidden="false" customHeight="false" outlineLevel="0" collapsed="false">
      <c r="A6" s="5" t="n">
        <v>1</v>
      </c>
      <c r="B6" s="6" t="s">
        <v>11</v>
      </c>
      <c r="C6" s="7" t="s">
        <v>12</v>
      </c>
      <c r="D6" s="7" t="s">
        <v>13</v>
      </c>
      <c r="E6" s="5" t="n">
        <v>1</v>
      </c>
      <c r="F6" s="8" t="n">
        <v>1.1</v>
      </c>
      <c r="G6" s="9" t="n">
        <f aca="false">E6*F6</f>
        <v>1.1</v>
      </c>
      <c r="H6" s="7" t="s">
        <v>14</v>
      </c>
    </row>
    <row r="7" customFormat="false" ht="23.85" hidden="false" customHeight="false" outlineLevel="0" collapsed="false">
      <c r="A7" s="5" t="n">
        <v>2</v>
      </c>
      <c r="B7" s="6" t="s">
        <v>15</v>
      </c>
      <c r="C7" s="7" t="s">
        <v>16</v>
      </c>
      <c r="D7" s="7" t="s">
        <v>17</v>
      </c>
      <c r="E7" s="5" t="n">
        <v>1</v>
      </c>
      <c r="F7" s="8" t="n">
        <v>0.3</v>
      </c>
      <c r="G7" s="9" t="n">
        <f aca="false">E7*F7</f>
        <v>0.3</v>
      </c>
      <c r="H7" s="7" t="s">
        <v>18</v>
      </c>
    </row>
    <row r="8" customFormat="false" ht="15" hidden="false" customHeight="false" outlineLevel="0" collapsed="false">
      <c r="A8" s="5" t="n">
        <v>3</v>
      </c>
      <c r="B8" s="6" t="s">
        <v>19</v>
      </c>
      <c r="C8" s="7" t="s">
        <v>20</v>
      </c>
      <c r="D8" s="7" t="s">
        <v>21</v>
      </c>
      <c r="E8" s="5" t="s">
        <v>22</v>
      </c>
      <c r="F8" s="8" t="n">
        <v>0.15</v>
      </c>
      <c r="G8" s="9" t="n">
        <f aca="false">E8*F8</f>
        <v>0.15</v>
      </c>
      <c r="H8" s="7" t="s">
        <v>23</v>
      </c>
    </row>
    <row r="9" customFormat="false" ht="15" hidden="false" customHeight="false" outlineLevel="0" collapsed="false">
      <c r="A9" s="5" t="n">
        <v>4</v>
      </c>
      <c r="B9" s="6" t="s">
        <v>24</v>
      </c>
      <c r="C9" s="7" t="s">
        <v>25</v>
      </c>
      <c r="D9" s="7" t="s">
        <v>26</v>
      </c>
      <c r="E9" s="5" t="n">
        <v>1</v>
      </c>
      <c r="F9" s="8" t="n">
        <v>0.1</v>
      </c>
      <c r="G9" s="9" t="n">
        <f aca="false">E9*F9</f>
        <v>0.1</v>
      </c>
      <c r="H9" s="7" t="s">
        <v>27</v>
      </c>
    </row>
    <row r="10" customFormat="false" ht="15" hidden="false" customHeight="false" outlineLevel="0" collapsed="false">
      <c r="A10" s="5" t="n">
        <v>5</v>
      </c>
      <c r="B10" s="6" t="s">
        <v>28</v>
      </c>
      <c r="C10" s="7" t="s">
        <v>29</v>
      </c>
      <c r="D10" s="7" t="s">
        <v>30</v>
      </c>
      <c r="E10" s="5" t="n">
        <v>1</v>
      </c>
      <c r="F10" s="8" t="n">
        <v>0.3</v>
      </c>
      <c r="G10" s="9" t="n">
        <f aca="false">E10*F10</f>
        <v>0.3</v>
      </c>
      <c r="H10" s="7" t="s">
        <v>31</v>
      </c>
    </row>
    <row r="11" customFormat="false" ht="15" hidden="false" customHeight="false" outlineLevel="0" collapsed="false">
      <c r="A11" s="5" t="n">
        <v>6</v>
      </c>
      <c r="B11" s="6" t="s">
        <v>32</v>
      </c>
      <c r="C11" s="7" t="s">
        <v>33</v>
      </c>
      <c r="D11" s="7" t="s">
        <v>34</v>
      </c>
      <c r="E11" s="5" t="n">
        <v>1</v>
      </c>
      <c r="F11" s="8" t="n">
        <v>0.4</v>
      </c>
      <c r="G11" s="9" t="n">
        <f aca="false">E11*F11</f>
        <v>0.4</v>
      </c>
      <c r="H11" s="7" t="s">
        <v>35</v>
      </c>
    </row>
    <row r="12" customFormat="false" ht="15" hidden="false" customHeight="false" outlineLevel="0" collapsed="false">
      <c r="A12" s="5" t="n">
        <v>7</v>
      </c>
      <c r="B12" s="6" t="s">
        <v>36</v>
      </c>
      <c r="C12" s="7" t="s">
        <v>37</v>
      </c>
      <c r="D12" s="7" t="s">
        <v>38</v>
      </c>
      <c r="E12" s="5" t="n">
        <v>1</v>
      </c>
      <c r="F12" s="8" t="n">
        <v>2.2</v>
      </c>
      <c r="G12" s="9" t="n">
        <f aca="false">E12*F12</f>
        <v>2.2</v>
      </c>
      <c r="H12" s="7" t="s">
        <v>39</v>
      </c>
    </row>
    <row r="13" customFormat="false" ht="15" hidden="false" customHeight="false" outlineLevel="0" collapsed="false">
      <c r="A13" s="5" t="n">
        <v>8</v>
      </c>
      <c r="B13" s="6" t="s">
        <v>40</v>
      </c>
      <c r="C13" s="7" t="s">
        <v>41</v>
      </c>
      <c r="D13" s="7" t="s">
        <v>42</v>
      </c>
      <c r="E13" s="5" t="n">
        <v>1</v>
      </c>
      <c r="F13" s="8" t="n">
        <v>0.08</v>
      </c>
      <c r="G13" s="9" t="n">
        <f aca="false">E13*F13</f>
        <v>0.08</v>
      </c>
      <c r="H13" s="7" t="s">
        <v>43</v>
      </c>
    </row>
    <row r="14" customFormat="false" ht="23.85" hidden="false" customHeight="false" outlineLevel="0" collapsed="false">
      <c r="A14" s="5" t="n">
        <v>9</v>
      </c>
      <c r="B14" s="6" t="s">
        <v>44</v>
      </c>
      <c r="C14" s="7" t="s">
        <v>45</v>
      </c>
      <c r="D14" s="7" t="s">
        <v>46</v>
      </c>
      <c r="E14" s="5" t="n">
        <v>1</v>
      </c>
      <c r="F14" s="8" t="n">
        <v>0.25</v>
      </c>
      <c r="G14" s="9" t="n">
        <f aca="false">E14*F14</f>
        <v>0.25</v>
      </c>
      <c r="H14" s="7" t="s">
        <v>47</v>
      </c>
    </row>
    <row r="15" customFormat="false" ht="23.85" hidden="false" customHeight="false" outlineLevel="0" collapsed="false">
      <c r="A15" s="5" t="n">
        <v>10</v>
      </c>
      <c r="B15" s="6" t="s">
        <v>48</v>
      </c>
      <c r="C15" s="7" t="s">
        <v>49</v>
      </c>
      <c r="D15" s="7" t="s">
        <v>46</v>
      </c>
      <c r="E15" s="5" t="n">
        <v>1</v>
      </c>
      <c r="F15" s="8" t="n">
        <v>0.55</v>
      </c>
      <c r="G15" s="9" t="n">
        <f aca="false">E15*F15</f>
        <v>0.55</v>
      </c>
      <c r="H15" s="7" t="s">
        <v>50</v>
      </c>
    </row>
    <row r="16" customFormat="false" ht="23.85" hidden="false" customHeight="false" outlineLevel="0" collapsed="false">
      <c r="A16" s="5" t="n">
        <v>11</v>
      </c>
      <c r="B16" s="6" t="s">
        <v>51</v>
      </c>
      <c r="C16" s="7" t="s">
        <v>52</v>
      </c>
      <c r="D16" s="7" t="s">
        <v>53</v>
      </c>
      <c r="E16" s="5" t="n">
        <v>1</v>
      </c>
      <c r="F16" s="8" t="n">
        <v>0.05</v>
      </c>
      <c r="G16" s="9" t="n">
        <f aca="false">E16*F16</f>
        <v>0.05</v>
      </c>
      <c r="H16" s="7" t="s">
        <v>54</v>
      </c>
    </row>
    <row r="17" customFormat="false" ht="15" hidden="false" customHeight="false" outlineLevel="0" collapsed="false">
      <c r="A17" s="5" t="n">
        <v>12</v>
      </c>
      <c r="B17" s="6" t="s">
        <v>55</v>
      </c>
      <c r="C17" s="7" t="s">
        <v>56</v>
      </c>
      <c r="D17" s="7" t="s">
        <v>46</v>
      </c>
      <c r="E17" s="5" t="n">
        <v>1</v>
      </c>
      <c r="F17" s="8" t="n">
        <v>0.45</v>
      </c>
      <c r="G17" s="9" t="n">
        <f aca="false">E17*F17</f>
        <v>0.45</v>
      </c>
      <c r="H17" s="7" t="s">
        <v>57</v>
      </c>
    </row>
    <row r="18" customFormat="false" ht="15" hidden="false" customHeight="false" outlineLevel="0" collapsed="false">
      <c r="A18" s="10"/>
      <c r="B18" s="11" t="s">
        <v>58</v>
      </c>
      <c r="C18" s="10"/>
      <c r="D18" s="10"/>
      <c r="E18" s="10"/>
      <c r="F18" s="10"/>
      <c r="G18" s="12" t="n">
        <f aca="false">SUM(G6:G17)</f>
        <v>5.93</v>
      </c>
    </row>
    <row r="20" customFormat="false" ht="15" hidden="false" customHeight="false" outlineLevel="0" collapsed="false">
      <c r="B20" s="13" t="s">
        <v>59</v>
      </c>
    </row>
    <row r="21" customFormat="false" ht="15" hidden="false" customHeight="false" outlineLevel="0" collapsed="false">
      <c r="B21" s="7" t="s">
        <v>60</v>
      </c>
      <c r="C21" s="9" t="n">
        <f aca="false">G18</f>
        <v>5.93</v>
      </c>
    </row>
    <row r="22" customFormat="false" ht="15" hidden="false" customHeight="false" outlineLevel="0" collapsed="false">
      <c r="B22" s="14" t="s">
        <v>61</v>
      </c>
      <c r="C22" s="15" t="n">
        <v>0.8</v>
      </c>
    </row>
    <row r="23" customFormat="false" ht="15" hidden="false" customHeight="false" outlineLevel="0" collapsed="false">
      <c r="B23" s="16" t="s">
        <v>62</v>
      </c>
      <c r="C23" s="17" t="n">
        <f aca="false">C21+C22</f>
        <v>6.73</v>
      </c>
    </row>
    <row r="24" customFormat="false" ht="15" hidden="false" customHeight="false" outlineLevel="0" collapsed="false">
      <c r="B24" s="14" t="s">
        <v>63</v>
      </c>
      <c r="C24" s="18" t="n">
        <v>10000</v>
      </c>
    </row>
    <row r="25" customFormat="false" ht="15" hidden="false" customHeight="false" outlineLevel="0" collapsed="false">
      <c r="B25" s="16" t="s">
        <v>64</v>
      </c>
      <c r="C25" s="19" t="n">
        <f aca="false">C23*C24</f>
        <v>67300</v>
      </c>
    </row>
    <row r="26" customFormat="false" ht="23.85" hidden="false" customHeight="false" outlineLevel="0" collapsed="false">
      <c r="B26" s="14" t="s">
        <v>65</v>
      </c>
      <c r="C26" s="20" t="n">
        <v>0.27</v>
      </c>
    </row>
    <row r="27" customFormat="false" ht="15" hidden="false" customHeight="false" outlineLevel="0" collapsed="false">
      <c r="B27" s="16" t="s">
        <v>66</v>
      </c>
      <c r="C27" s="19" t="n">
        <f aca="false">C25*(1+C26)</f>
        <v>85471</v>
      </c>
    </row>
    <row r="28" customFormat="false" ht="15" hidden="false" customHeight="false" outlineLevel="0" collapsed="false">
      <c r="B28" s="14" t="s">
        <v>67</v>
      </c>
      <c r="C28" s="21" t="n">
        <v>0.92</v>
      </c>
    </row>
    <row r="29" customFormat="false" ht="15" hidden="false" customHeight="false" outlineLevel="0" collapsed="false">
      <c r="B29" s="16" t="s">
        <v>68</v>
      </c>
      <c r="C29" s="22" t="n">
        <f aca="false">C27*C28</f>
        <v>78633.32</v>
      </c>
    </row>
    <row r="30" customFormat="false" ht="15" hidden="false" customHeight="false" outlineLevel="0" collapsed="false">
      <c r="B30" s="16" t="s">
        <v>69</v>
      </c>
      <c r="C30" s="23" t="n">
        <f aca="false">C29/C24</f>
        <v>7.863332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3" min="2" style="0" width="30"/>
    <col collapsed="false" customWidth="true" hidden="false" outlineLevel="0" max="4" min="4" style="0" width="20"/>
    <col collapsed="false" customWidth="true" hidden="false" outlineLevel="0" max="5" min="5" style="0" width="8"/>
    <col collapsed="false" customWidth="true" hidden="false" outlineLevel="0" max="7" min="6" style="0" width="13"/>
    <col collapsed="false" customWidth="true" hidden="false" outlineLevel="0" max="8" min="8" style="0" width="42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70</v>
      </c>
    </row>
    <row r="3" customFormat="false" ht="15" hidden="false" customHeight="false" outlineLevel="0" collapsed="false">
      <c r="A3" s="3" t="s">
        <v>2</v>
      </c>
    </row>
    <row r="5" customFormat="false" ht="23.85" hidden="false" customHeight="fals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</row>
    <row r="6" customFormat="false" ht="23.85" hidden="false" customHeight="false" outlineLevel="0" collapsed="false">
      <c r="A6" s="5" t="n">
        <v>1</v>
      </c>
      <c r="B6" s="6" t="s">
        <v>11</v>
      </c>
      <c r="C6" s="7" t="s">
        <v>12</v>
      </c>
      <c r="D6" s="7" t="s">
        <v>13</v>
      </c>
      <c r="E6" s="5" t="n">
        <v>1</v>
      </c>
      <c r="F6" s="8" t="n">
        <v>1.1</v>
      </c>
      <c r="G6" s="9" t="n">
        <f aca="false">E6*F6</f>
        <v>1.1</v>
      </c>
      <c r="H6" s="7" t="s">
        <v>71</v>
      </c>
    </row>
    <row r="7" customFormat="false" ht="23.85" hidden="false" customHeight="false" outlineLevel="0" collapsed="false">
      <c r="A7" s="5" t="n">
        <v>2</v>
      </c>
      <c r="B7" s="6" t="s">
        <v>15</v>
      </c>
      <c r="C7" s="7" t="s">
        <v>72</v>
      </c>
      <c r="D7" s="7" t="s">
        <v>17</v>
      </c>
      <c r="E7" s="5" t="n">
        <v>1</v>
      </c>
      <c r="F7" s="8" t="n">
        <v>0.3</v>
      </c>
      <c r="G7" s="9" t="n">
        <f aca="false">E7*F7</f>
        <v>0.3</v>
      </c>
      <c r="H7" s="7" t="s">
        <v>73</v>
      </c>
    </row>
    <row r="8" customFormat="false" ht="15" hidden="false" customHeight="false" outlineLevel="0" collapsed="false">
      <c r="A8" s="5" t="n">
        <v>3</v>
      </c>
      <c r="B8" s="6" t="s">
        <v>19</v>
      </c>
      <c r="C8" s="7" t="s">
        <v>20</v>
      </c>
      <c r="D8" s="7" t="s">
        <v>21</v>
      </c>
      <c r="E8" s="5" t="n">
        <v>1</v>
      </c>
      <c r="F8" s="8" t="n">
        <v>0.15</v>
      </c>
      <c r="G8" s="9" t="n">
        <f aca="false">E8*F8</f>
        <v>0.15</v>
      </c>
      <c r="H8" s="7" t="s">
        <v>74</v>
      </c>
    </row>
    <row r="9" customFormat="false" ht="15" hidden="false" customHeight="false" outlineLevel="0" collapsed="false">
      <c r="A9" s="5" t="n">
        <v>4</v>
      </c>
      <c r="B9" s="6" t="s">
        <v>24</v>
      </c>
      <c r="C9" s="7" t="s">
        <v>75</v>
      </c>
      <c r="D9" s="7" t="s">
        <v>26</v>
      </c>
      <c r="E9" s="5" t="n">
        <v>1</v>
      </c>
      <c r="F9" s="8" t="n">
        <v>0.1</v>
      </c>
      <c r="G9" s="9" t="n">
        <f aca="false">E9*F9</f>
        <v>0.1</v>
      </c>
      <c r="H9" s="7"/>
    </row>
    <row r="10" customFormat="false" ht="15" hidden="false" customHeight="false" outlineLevel="0" collapsed="false">
      <c r="A10" s="5" t="n">
        <v>5</v>
      </c>
      <c r="B10" s="6" t="s">
        <v>76</v>
      </c>
      <c r="C10" s="7" t="s">
        <v>77</v>
      </c>
      <c r="D10" s="7" t="s">
        <v>78</v>
      </c>
      <c r="E10" s="5" t="n">
        <v>1</v>
      </c>
      <c r="F10" s="8" t="n">
        <v>0.25</v>
      </c>
      <c r="G10" s="9" t="n">
        <f aca="false">E10*F10</f>
        <v>0.25</v>
      </c>
      <c r="H10" s="7" t="s">
        <v>79</v>
      </c>
    </row>
    <row r="11" customFormat="false" ht="15" hidden="false" customHeight="false" outlineLevel="0" collapsed="false">
      <c r="A11" s="5" t="n">
        <v>6</v>
      </c>
      <c r="B11" s="6" t="s">
        <v>80</v>
      </c>
      <c r="C11" s="7" t="s">
        <v>81</v>
      </c>
      <c r="D11" s="7" t="s">
        <v>82</v>
      </c>
      <c r="E11" s="5" t="n">
        <v>1</v>
      </c>
      <c r="F11" s="8" t="n">
        <v>0.35</v>
      </c>
      <c r="G11" s="9" t="n">
        <f aca="false">E11*F11</f>
        <v>0.35</v>
      </c>
      <c r="H11" s="7" t="s">
        <v>83</v>
      </c>
    </row>
    <row r="12" customFormat="false" ht="15" hidden="false" customHeight="false" outlineLevel="0" collapsed="false">
      <c r="A12" s="5" t="n">
        <v>7</v>
      </c>
      <c r="B12" s="6" t="s">
        <v>84</v>
      </c>
      <c r="C12" s="7" t="s">
        <v>45</v>
      </c>
      <c r="D12" s="7" t="s">
        <v>46</v>
      </c>
      <c r="E12" s="5" t="n">
        <v>1</v>
      </c>
      <c r="F12" s="8" t="n">
        <v>0.2</v>
      </c>
      <c r="G12" s="9" t="n">
        <f aca="false">E12*F12</f>
        <v>0.2</v>
      </c>
      <c r="H12" s="7"/>
    </row>
    <row r="13" customFormat="false" ht="15" hidden="false" customHeight="false" outlineLevel="0" collapsed="false">
      <c r="A13" s="5" t="n">
        <v>8</v>
      </c>
      <c r="B13" s="6" t="s">
        <v>85</v>
      </c>
      <c r="C13" s="7" t="s">
        <v>86</v>
      </c>
      <c r="D13" s="7" t="s">
        <v>46</v>
      </c>
      <c r="E13" s="5" t="n">
        <v>1</v>
      </c>
      <c r="F13" s="8" t="n">
        <v>0.45</v>
      </c>
      <c r="G13" s="9" t="n">
        <f aca="false">E13*F13</f>
        <v>0.45</v>
      </c>
      <c r="H13" s="7" t="s">
        <v>87</v>
      </c>
    </row>
    <row r="14" customFormat="false" ht="23.85" hidden="false" customHeight="false" outlineLevel="0" collapsed="false">
      <c r="A14" s="5" t="n">
        <v>9</v>
      </c>
      <c r="B14" s="6" t="s">
        <v>51</v>
      </c>
      <c r="C14" s="7" t="s">
        <v>52</v>
      </c>
      <c r="D14" s="7" t="s">
        <v>53</v>
      </c>
      <c r="E14" s="5" t="n">
        <v>1</v>
      </c>
      <c r="F14" s="8" t="n">
        <v>0.05</v>
      </c>
      <c r="G14" s="9" t="n">
        <f aca="false">E14*F14</f>
        <v>0.05</v>
      </c>
      <c r="H14" s="7"/>
    </row>
    <row r="15" customFormat="false" ht="15" hidden="false" customHeight="false" outlineLevel="0" collapsed="false">
      <c r="A15" s="5" t="n">
        <v>10</v>
      </c>
      <c r="B15" s="6" t="s">
        <v>55</v>
      </c>
      <c r="C15" s="7" t="s">
        <v>56</v>
      </c>
      <c r="D15" s="7" t="s">
        <v>46</v>
      </c>
      <c r="E15" s="5" t="n">
        <v>1</v>
      </c>
      <c r="F15" s="8" t="n">
        <v>0.4</v>
      </c>
      <c r="G15" s="9" t="n">
        <f aca="false">E15*F15</f>
        <v>0.4</v>
      </c>
      <c r="H15" s="7" t="s">
        <v>88</v>
      </c>
    </row>
    <row r="16" customFormat="false" ht="15" hidden="false" customHeight="false" outlineLevel="0" collapsed="false">
      <c r="A16" s="10"/>
      <c r="B16" s="11" t="s">
        <v>58</v>
      </c>
      <c r="C16" s="10"/>
      <c r="D16" s="10"/>
      <c r="E16" s="10"/>
      <c r="F16" s="10"/>
      <c r="G16" s="12" t="n">
        <f aca="false">SUM(G6:G15)</f>
        <v>3.35</v>
      </c>
    </row>
    <row r="18" customFormat="false" ht="15" hidden="false" customHeight="false" outlineLevel="0" collapsed="false">
      <c r="B18" s="13" t="s">
        <v>59</v>
      </c>
    </row>
    <row r="19" customFormat="false" ht="15" hidden="false" customHeight="false" outlineLevel="0" collapsed="false">
      <c r="B19" s="7" t="s">
        <v>60</v>
      </c>
      <c r="C19" s="9" t="n">
        <f aca="false">G16</f>
        <v>3.35</v>
      </c>
    </row>
    <row r="20" customFormat="false" ht="15" hidden="false" customHeight="false" outlineLevel="0" collapsed="false">
      <c r="B20" s="14" t="s">
        <v>61</v>
      </c>
      <c r="C20" s="15" t="n">
        <v>0.8</v>
      </c>
    </row>
    <row r="21" customFormat="false" ht="15" hidden="false" customHeight="false" outlineLevel="0" collapsed="false">
      <c r="B21" s="16" t="s">
        <v>62</v>
      </c>
      <c r="C21" s="17" t="n">
        <f aca="false">C19+C20</f>
        <v>4.15</v>
      </c>
    </row>
    <row r="22" customFormat="false" ht="15" hidden="false" customHeight="false" outlineLevel="0" collapsed="false">
      <c r="B22" s="14" t="s">
        <v>63</v>
      </c>
      <c r="C22" s="18" t="n">
        <v>10000</v>
      </c>
    </row>
    <row r="23" customFormat="false" ht="15" hidden="false" customHeight="false" outlineLevel="0" collapsed="false">
      <c r="B23" s="16" t="s">
        <v>64</v>
      </c>
      <c r="C23" s="19" t="n">
        <f aca="false">C21*C22</f>
        <v>41500</v>
      </c>
    </row>
    <row r="24" customFormat="false" ht="23.85" hidden="false" customHeight="false" outlineLevel="0" collapsed="false">
      <c r="B24" s="14" t="s">
        <v>65</v>
      </c>
      <c r="C24" s="20" t="n">
        <v>0.27</v>
      </c>
    </row>
    <row r="25" customFormat="false" ht="15" hidden="false" customHeight="false" outlineLevel="0" collapsed="false">
      <c r="B25" s="16" t="s">
        <v>66</v>
      </c>
      <c r="C25" s="19" t="n">
        <f aca="false">C23*(1+C24)</f>
        <v>52705</v>
      </c>
    </row>
    <row r="26" customFormat="false" ht="15" hidden="false" customHeight="false" outlineLevel="0" collapsed="false">
      <c r="B26" s="14" t="s">
        <v>67</v>
      </c>
      <c r="C26" s="21" t="n">
        <v>0.92</v>
      </c>
    </row>
    <row r="27" customFormat="false" ht="15" hidden="false" customHeight="false" outlineLevel="0" collapsed="false">
      <c r="B27" s="16" t="s">
        <v>68</v>
      </c>
      <c r="C27" s="22" t="n">
        <f aca="false">C25*C26</f>
        <v>48488.6</v>
      </c>
    </row>
    <row r="28" customFormat="false" ht="15" hidden="false" customHeight="false" outlineLevel="0" collapsed="false">
      <c r="B28" s="16" t="s">
        <v>69</v>
      </c>
      <c r="C28" s="23" t="n">
        <f aca="false">C27/C22</f>
        <v>4.84886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2026-05-28T09:19:28Z</dcterms:created>
  <dc:creator>openpyxl</dc:creator>
  <dc:description/>
  <dc:language>en-US</dc:language>
  <cp:lastModifiedBy/>
  <dcterms:modified xsi:type="dcterms:W3CDTF">2026-05-28T09:19:28Z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